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rtbeat Graph" sheetId="1" state="visible" r:id="rId1"/>
    <sheet xmlns:r="http://schemas.openxmlformats.org/officeDocument/2006/relationships" name="Event Schedule" sheetId="2" state="visible" r:id="rId2"/>
    <sheet xmlns:r="http://schemas.openxmlformats.org/officeDocument/2006/relationships" name="Design Rules" sheetId="3" state="visible" r:id="rId3"/>
    <sheet xmlns:r="http://schemas.openxmlformats.org/officeDocument/2006/relationships" name="Level Up Estim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00000"/>
      <sz val="11"/>
    </font>
    <font>
      <name val="Arial"/>
      <color rgb="00000000"/>
      <sz val="11"/>
    </font>
    <font>
      <name val="Arial"/>
      <color rgb="00808080"/>
      <sz val="11"/>
    </font>
    <font>
      <name val="Arial"/>
      <color rgb="000070C0"/>
      <sz val="11"/>
    </font>
    <font>
      <name val="Arial"/>
      <color rgb="007030A0"/>
      <sz val="11"/>
    </font>
    <font>
      <name val="Arial"/>
      <color rgb="00FF6600"/>
      <sz val="11"/>
    </font>
    <font>
      <name val="Arial"/>
      <b val="1"/>
      <color rgb="00FF0000"/>
      <sz val="11"/>
    </font>
    <font>
      <name val="Arial"/>
      <b val="1"/>
      <color rgb="00FFFFFF"/>
      <sz val="14"/>
    </font>
    <font>
      <name val="Arial"/>
      <b val="1"/>
      <color rgb="00CC0000"/>
      <sz val="11"/>
    </font>
    <font>
      <name val="Arial"/>
      <b val="1"/>
      <color rgb="00FF6600"/>
      <sz val="11"/>
    </font>
    <font>
      <name val="Arial"/>
      <b val="1"/>
      <color rgb="00FFFFFF"/>
      <sz val="12"/>
    </font>
    <font>
      <name val="Arial"/>
      <color rgb="000000FF"/>
      <sz val="11"/>
    </font>
    <font>
      <name val="Arial"/>
      <b val="1"/>
      <color rgb="00008000"/>
      <sz val="11"/>
    </font>
    <font>
      <name val="Arial"/>
      <i val="1"/>
      <color rgb="00808080"/>
      <sz val="11"/>
    </font>
  </fonts>
  <fills count="13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DDEEFF"/>
        <bgColor rgb="00DDEEFF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1F3864"/>
      </patternFill>
    </fill>
    <fill>
      <patternFill patternType="solid">
        <fgColor rgb="00FFFFC0"/>
      </patternFill>
    </fill>
    <fill>
      <patternFill patternType="solid">
        <fgColor rgb="00FFFFFF"/>
      </patternFill>
    </fill>
    <fill>
      <patternFill patternType="solid">
        <fgColor rgb="00F0F0F0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3" fontId="0" fillId="10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left" vertical="center"/>
    </xf>
    <xf numFmtId="3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left" vertical="center"/>
    </xf>
    <xf numFmtId="0" fontId="0" fillId="10" borderId="0" applyAlignment="1" pivotButton="0" quotePrefix="0" xfId="0">
      <alignment horizontal="center" vertical="center"/>
    </xf>
    <xf numFmtId="164" fontId="0" fillId="10" borderId="0" applyAlignment="1" pivotButton="0" quotePrefix="0" xfId="0">
      <alignment horizontal="center" vertical="center"/>
    </xf>
    <xf numFmtId="1" fontId="0" fillId="10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164" fontId="0" fillId="12" borderId="0" applyAlignment="1" pivotButton="0" quotePrefix="0" xfId="0">
      <alignment horizontal="center" vertical="center"/>
    </xf>
    <xf numFmtId="1" fontId="0" fillId="12" borderId="0" applyAlignment="1" pivotButton="0" quotePrefix="0" xfId="0">
      <alignment horizontal="center" vertical="center"/>
    </xf>
    <xf numFmtId="3" fontId="0" fillId="12" borderId="0" applyAlignment="1" pivotButton="0" quotePrefix="0" xfId="0">
      <alignment horizontal="center" vertical="center"/>
    </xf>
    <xf numFmtId="0" fontId="14" fillId="12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7">
    <dxf>
      <font>
        <name val="Arial"/>
        <color rgb="00276221"/>
      </font>
      <fill>
        <patternFill patternType="solid">
          <fgColor rgb="00C6EFCE"/>
          <bgColor rgb="00C6EFCE"/>
        </patternFill>
      </fill>
    </dxf>
    <dxf>
      <font>
        <name val="Arial"/>
        <color rgb="009C5700"/>
      </font>
      <fill>
        <patternFill patternType="solid">
          <fgColor rgb="00FFEB9C"/>
          <bgColor rgb="00FFEB9C"/>
        </patternFill>
      </fill>
    </dxf>
    <dxf>
      <font>
        <name val="Arial"/>
        <color rgb="00974706"/>
      </font>
      <fill>
        <patternFill patternType="solid">
          <fgColor rgb="00FFCC99"/>
          <bgColor rgb="00FFCC99"/>
        </patternFill>
      </fill>
    </dxf>
    <dxf>
      <font>
        <name val="Arial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008000"/>
      </font>
    </dxf>
    <dxf>
      <font>
        <b val="1"/>
        <color rgb="00FF8C00"/>
      </font>
    </dxf>
    <dxf>
      <font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22" customWidth="1" min="4" max="4"/>
    <col width="14" customWidth="1" min="5" max="5"/>
    <col width="18" customWidth="1" min="6" max="6"/>
    <col width="35" customWidth="1" min="7" max="7"/>
    <col width="12" customWidth="1" min="8" max="8"/>
  </cols>
  <sheetData>
    <row r="1" ht="18" customHeight="1">
      <c r="A1" s="1" t="inlineStr">
        <is>
          <t>Time</t>
        </is>
      </c>
      <c r="B1" s="1" t="inlineStr">
        <is>
          <t>Minutes</t>
        </is>
      </c>
      <c r="C1" s="1" t="inlineStr">
        <is>
          <t>Tension (0-100)</t>
        </is>
      </c>
      <c r="D1" s="1" t="inlineStr">
        <is>
          <t>Event</t>
        </is>
      </c>
      <c r="E1" s="1" t="inlineStr">
        <is>
          <t>Event Type</t>
        </is>
      </c>
      <c r="F1" s="1" t="inlineStr">
        <is>
          <t>Intensity Change</t>
        </is>
      </c>
      <c r="G1" s="1" t="inlineStr">
        <is>
          <t>Designer Notes</t>
        </is>
      </c>
      <c r="H1" s="25" t="inlineStr">
        <is>
          <t>Est. Level</t>
        </is>
      </c>
    </row>
    <row r="2" ht="18" customHeight="1">
      <c r="A2" s="2" t="inlineStr">
        <is>
          <t>0:00</t>
        </is>
      </c>
      <c r="B2" s="2" t="n">
        <v>0</v>
      </c>
      <c r="C2" s="2" t="n">
        <v>20</v>
      </c>
      <c r="H2" s="26">
        <f>IFERROR(INDEX('Level Up Estimate'!$H$33:'Level Up Estimate'!$H$63,MATCH(B2,'Level Up Estimate'!$B$33:'Level Up Estimate'!$B$63,0)),"")</f>
        <v/>
      </c>
    </row>
    <row r="3" ht="18" customHeight="1">
      <c r="A3" s="2" t="inlineStr">
        <is>
          <t>0:30</t>
        </is>
      </c>
      <c r="B3" s="2" t="n">
        <v>0.5</v>
      </c>
      <c r="C3" s="2" t="n">
        <v>28</v>
      </c>
      <c r="H3" s="26">
        <f>IFERROR(INDEX('Level Up Estimate'!$H$33:'Level Up Estimate'!$H$63,MATCH(B3,'Level Up Estimate'!$B$33:'Level Up Estimate'!$B$63,0)),"")</f>
        <v/>
      </c>
    </row>
    <row r="4" ht="18" customHeight="1">
      <c r="A4" s="2" t="inlineStr">
        <is>
          <t>1:00</t>
        </is>
      </c>
      <c r="B4" s="2" t="n">
        <v>1</v>
      </c>
      <c r="C4" s="2" t="n">
        <v>36</v>
      </c>
      <c r="H4" s="26">
        <f>IFERROR(INDEX('Level Up Estimate'!$H$33:'Level Up Estimate'!$H$63,MATCH(B4,'Level Up Estimate'!$B$33:'Level Up Estimate'!$B$63,0)),"")</f>
        <v/>
      </c>
    </row>
    <row r="5" ht="18" customHeight="1">
      <c r="A5" s="2" t="inlineStr">
        <is>
          <t>1:30</t>
        </is>
      </c>
      <c r="B5" s="2" t="n">
        <v>1.5</v>
      </c>
      <c r="C5" s="2" t="n">
        <v>42</v>
      </c>
      <c r="H5" s="26">
        <f>IFERROR(INDEX('Level Up Estimate'!$H$33:'Level Up Estimate'!$H$63,MATCH(B5,'Level Up Estimate'!$B$33:'Level Up Estimate'!$B$63,0)),"")</f>
        <v/>
      </c>
    </row>
    <row r="6" ht="18" customHeight="1">
      <c r="A6" s="3" t="inlineStr">
        <is>
          <t>2:00</t>
        </is>
      </c>
      <c r="B6" s="3" t="n">
        <v>2</v>
      </c>
      <c r="C6" s="3" t="n">
        <v>65</v>
      </c>
      <c r="D6" s="4" t="inlineStr">
        <is>
          <t>Zone Objective #1</t>
        </is>
      </c>
      <c r="E6" s="3" t="inlineStr">
        <is>
          <t>Zone</t>
        </is>
      </c>
      <c r="F6" s="3" t="inlineStr">
        <is>
          <t>+25 spike</t>
        </is>
      </c>
      <c r="G6" s="5" t="n"/>
      <c r="H6" s="26">
        <f>IFERROR(INDEX('Level Up Estimate'!$H$33:'Level Up Estimate'!$H$63,MATCH(B6,'Level Up Estimate'!$B$33:'Level Up Estimate'!$B$63,0)),"")</f>
        <v/>
      </c>
    </row>
    <row r="7" ht="18" customHeight="1">
      <c r="A7" s="2" t="inlineStr">
        <is>
          <t>2:30</t>
        </is>
      </c>
      <c r="B7" s="2" t="n">
        <v>2.5</v>
      </c>
      <c r="C7" s="2" t="n">
        <v>50</v>
      </c>
      <c r="H7" s="26">
        <f>IFERROR(INDEX('Level Up Estimate'!$H$33:'Level Up Estimate'!$H$63,MATCH(B7,'Level Up Estimate'!$B$33:'Level Up Estimate'!$B$63,0)),"")</f>
        <v/>
      </c>
    </row>
    <row r="8" ht="18" customHeight="1">
      <c r="A8" s="2" t="inlineStr">
        <is>
          <t>3:00</t>
        </is>
      </c>
      <c r="B8" s="2" t="n">
        <v>3</v>
      </c>
      <c r="C8" s="2" t="n">
        <v>45</v>
      </c>
      <c r="H8" s="26">
        <f>IFERROR(INDEX('Level Up Estimate'!$H$33:'Level Up Estimate'!$H$63,MATCH(B8,'Level Up Estimate'!$B$33:'Level Up Estimate'!$B$63,0)),"")</f>
        <v/>
      </c>
    </row>
    <row r="9" ht="18" customHeight="1">
      <c r="A9" s="2" t="inlineStr">
        <is>
          <t>3:30</t>
        </is>
      </c>
      <c r="B9" s="2" t="n">
        <v>3.5</v>
      </c>
      <c r="C9" s="2" t="n">
        <v>48</v>
      </c>
      <c r="H9" s="26">
        <f>IFERROR(INDEX('Level Up Estimate'!$H$33:'Level Up Estimate'!$H$63,MATCH(B9,'Level Up Estimate'!$B$33:'Level Up Estimate'!$B$63,0)),"")</f>
        <v/>
      </c>
    </row>
    <row r="10" ht="18" customHeight="1">
      <c r="A10" s="2" t="inlineStr">
        <is>
          <t>4:00</t>
        </is>
      </c>
      <c r="B10" s="2" t="n">
        <v>4</v>
      </c>
      <c r="C10" s="2" t="n">
        <v>55</v>
      </c>
      <c r="H10" s="26">
        <f>IFERROR(INDEX('Level Up Estimate'!$H$33:'Level Up Estimate'!$H$63,MATCH(B10,'Level Up Estimate'!$B$33:'Level Up Estimate'!$B$63,0)),"")</f>
        <v/>
      </c>
    </row>
    <row r="11" ht="18" customHeight="1">
      <c r="A11" s="3" t="inlineStr">
        <is>
          <t>4:30</t>
        </is>
      </c>
      <c r="B11" s="3" t="n">
        <v>4.5</v>
      </c>
      <c r="C11" s="3" t="n">
        <v>62</v>
      </c>
      <c r="D11" s="4" t="inlineStr">
        <is>
          <t>Level Up</t>
        </is>
      </c>
      <c r="E11" s="3" t="inlineStr">
        <is>
          <t>Level Up</t>
        </is>
      </c>
      <c r="F11" s="3" t="inlineStr">
        <is>
          <t>+20 pause</t>
        </is>
      </c>
      <c r="G11" s="5" t="n"/>
      <c r="H11" s="26">
        <f>IFERROR(INDEX('Level Up Estimate'!$H$33:'Level Up Estimate'!$H$63,MATCH(B11,'Level Up Estimate'!$B$33:'Level Up Estimate'!$B$63,0)),"")</f>
        <v/>
      </c>
    </row>
    <row r="12" ht="18" customHeight="1">
      <c r="A12" s="3" t="inlineStr">
        <is>
          <t>5:00</t>
        </is>
      </c>
      <c r="B12" s="3" t="n">
        <v>5</v>
      </c>
      <c r="C12" s="3" t="n">
        <v>82</v>
      </c>
      <c r="D12" s="4" t="inlineStr">
        <is>
          <t>Mini Boss #1</t>
        </is>
      </c>
      <c r="E12" s="3" t="inlineStr">
        <is>
          <t>Mini Boss</t>
        </is>
      </c>
      <c r="F12" s="3" t="inlineStr">
        <is>
          <t>+40 spike</t>
        </is>
      </c>
      <c r="G12" s="5" t="n"/>
      <c r="H12" s="26">
        <f>IFERROR(INDEX('Level Up Estimate'!$H$33:'Level Up Estimate'!$H$63,MATCH(B12,'Level Up Estimate'!$B$33:'Level Up Estimate'!$B$63,0)),"")</f>
        <v/>
      </c>
    </row>
    <row r="13" ht="18" customHeight="1">
      <c r="A13" s="2" t="inlineStr">
        <is>
          <t>5:30</t>
        </is>
      </c>
      <c r="B13" s="2" t="n">
        <v>5.5</v>
      </c>
      <c r="C13" s="2" t="n">
        <v>48</v>
      </c>
      <c r="H13" s="26">
        <f>IFERROR(INDEX('Level Up Estimate'!$H$33:'Level Up Estimate'!$H$63,MATCH(B13,'Level Up Estimate'!$B$33:'Level Up Estimate'!$B$63,0)),"")</f>
        <v/>
      </c>
    </row>
    <row r="14" ht="18" customHeight="1">
      <c r="A14" s="3" t="inlineStr">
        <is>
          <t>6:00</t>
        </is>
      </c>
      <c r="B14" s="3" t="n">
        <v>6</v>
      </c>
      <c r="C14" s="3" t="n">
        <v>68</v>
      </c>
      <c r="D14" s="4" t="inlineStr">
        <is>
          <t>Zone Objective #2</t>
        </is>
      </c>
      <c r="E14" s="3" t="inlineStr">
        <is>
          <t>Zone</t>
        </is>
      </c>
      <c r="F14" s="3" t="inlineStr">
        <is>
          <t>+20 spike</t>
        </is>
      </c>
      <c r="G14" s="5" t="n"/>
      <c r="H14" s="26">
        <f>IFERROR(INDEX('Level Up Estimate'!$H$33:'Level Up Estimate'!$H$63,MATCH(B14,'Level Up Estimate'!$B$33:'Level Up Estimate'!$B$63,0)),"")</f>
        <v/>
      </c>
    </row>
    <row r="15" ht="18" customHeight="1">
      <c r="A15" s="2" t="inlineStr">
        <is>
          <t>6:30</t>
        </is>
      </c>
      <c r="B15" s="2" t="n">
        <v>6.5</v>
      </c>
      <c r="C15" s="2" t="n">
        <v>52</v>
      </c>
      <c r="H15" s="26">
        <f>IFERROR(INDEX('Level Up Estimate'!$H$33:'Level Up Estimate'!$H$63,MATCH(B15,'Level Up Estimate'!$B$33:'Level Up Estimate'!$B$63,0)),"")</f>
        <v/>
      </c>
    </row>
    <row r="16" ht="18" customHeight="1">
      <c r="A16" s="2" t="inlineStr">
        <is>
          <t>7:00</t>
        </is>
      </c>
      <c r="B16" s="2" t="n">
        <v>7</v>
      </c>
      <c r="C16" s="2" t="n">
        <v>55</v>
      </c>
      <c r="H16" s="26">
        <f>IFERROR(INDEX('Level Up Estimate'!$H$33:'Level Up Estimate'!$H$63,MATCH(B16,'Level Up Estimate'!$B$33:'Level Up Estimate'!$B$63,0)),"")</f>
        <v/>
      </c>
    </row>
    <row r="17" ht="18" customHeight="1">
      <c r="A17" s="2" t="inlineStr">
        <is>
          <t>7:30</t>
        </is>
      </c>
      <c r="B17" s="2" t="n">
        <v>7.5</v>
      </c>
      <c r="C17" s="2" t="n">
        <v>58</v>
      </c>
      <c r="H17" s="26">
        <f>IFERROR(INDEX('Level Up Estimate'!$H$33:'Level Up Estimate'!$H$63,MATCH(B17,'Level Up Estimate'!$B$33:'Level Up Estimate'!$B$63,0)),"")</f>
        <v/>
      </c>
    </row>
    <row r="18" ht="18" customHeight="1">
      <c r="A18" s="3" t="inlineStr">
        <is>
          <t>8:00</t>
        </is>
      </c>
      <c r="B18" s="3" t="n">
        <v>8</v>
      </c>
      <c r="C18" s="3" t="n">
        <v>68</v>
      </c>
      <c r="D18" s="4" t="inlineStr">
        <is>
          <t>Zone Objective #3</t>
        </is>
      </c>
      <c r="E18" s="3" t="inlineStr">
        <is>
          <t>Zone</t>
        </is>
      </c>
      <c r="F18" s="3" t="inlineStr">
        <is>
          <t>+20 spike</t>
        </is>
      </c>
      <c r="G18" s="5" t="n"/>
      <c r="H18" s="26">
        <f>IFERROR(INDEX('Level Up Estimate'!$H$33:'Level Up Estimate'!$H$63,MATCH(B18,'Level Up Estimate'!$B$33:'Level Up Estimate'!$B$63,0)),"")</f>
        <v/>
      </c>
    </row>
    <row r="19" ht="18" customHeight="1">
      <c r="A19" s="2" t="inlineStr">
        <is>
          <t>8:30</t>
        </is>
      </c>
      <c r="B19" s="2" t="n">
        <v>8.5</v>
      </c>
      <c r="C19" s="2" t="n">
        <v>55</v>
      </c>
      <c r="H19" s="26">
        <f>IFERROR(INDEX('Level Up Estimate'!$H$33:'Level Up Estimate'!$H$63,MATCH(B19,'Level Up Estimate'!$B$33:'Level Up Estimate'!$B$63,0)),"")</f>
        <v/>
      </c>
    </row>
    <row r="20" ht="18" customHeight="1">
      <c r="A20" s="2" t="inlineStr">
        <is>
          <t>9:00</t>
        </is>
      </c>
      <c r="B20" s="2" t="n">
        <v>9</v>
      </c>
      <c r="C20" s="2" t="n">
        <v>60</v>
      </c>
      <c r="H20" s="26">
        <f>IFERROR(INDEX('Level Up Estimate'!$H$33:'Level Up Estimate'!$H$63,MATCH(B20,'Level Up Estimate'!$B$33:'Level Up Estimate'!$B$63,0)),"")</f>
        <v/>
      </c>
    </row>
    <row r="21" ht="18" customHeight="1">
      <c r="A21" s="2" t="inlineStr">
        <is>
          <t>9:30</t>
        </is>
      </c>
      <c r="B21" s="2" t="n">
        <v>9.5</v>
      </c>
      <c r="C21" s="2" t="n">
        <v>65</v>
      </c>
      <c r="H21" s="26">
        <f>IFERROR(INDEX('Level Up Estimate'!$H$33:'Level Up Estimate'!$H$63,MATCH(B21,'Level Up Estimate'!$B$33:'Level Up Estimate'!$B$63,0)),"")</f>
        <v/>
      </c>
    </row>
    <row r="22" ht="18" customHeight="1">
      <c r="A22" s="3" t="inlineStr">
        <is>
          <t>10:00</t>
        </is>
      </c>
      <c r="B22" s="3" t="n">
        <v>10</v>
      </c>
      <c r="C22" s="3" t="n">
        <v>87</v>
      </c>
      <c r="D22" s="4" t="inlineStr">
        <is>
          <t>Mini Boss #2</t>
        </is>
      </c>
      <c r="E22" s="3" t="inlineStr">
        <is>
          <t>Mini Boss</t>
        </is>
      </c>
      <c r="F22" s="3" t="inlineStr">
        <is>
          <t>+45 spike</t>
        </is>
      </c>
      <c r="G22" s="5" t="n"/>
      <c r="H22" s="26">
        <f>IFERROR(INDEX('Level Up Estimate'!$H$33:'Level Up Estimate'!$H$63,MATCH(B22,'Level Up Estimate'!$B$33:'Level Up Estimate'!$B$63,0)),"")</f>
        <v/>
      </c>
    </row>
    <row r="23" ht="18" customHeight="1">
      <c r="A23" s="2" t="inlineStr">
        <is>
          <t>10:30</t>
        </is>
      </c>
      <c r="B23" s="2" t="n">
        <v>10.5</v>
      </c>
      <c r="C23" s="2" t="n">
        <v>52</v>
      </c>
      <c r="H23" s="26">
        <f>IFERROR(INDEX('Level Up Estimate'!$H$33:'Level Up Estimate'!$H$63,MATCH(B23,'Level Up Estimate'!$B$33:'Level Up Estimate'!$B$63,0)),"")</f>
        <v/>
      </c>
    </row>
    <row r="24" ht="18" customHeight="1">
      <c r="A24" s="2" t="inlineStr">
        <is>
          <t>11:00</t>
        </is>
      </c>
      <c r="B24" s="2" t="n">
        <v>11</v>
      </c>
      <c r="C24" s="2" t="n">
        <v>58</v>
      </c>
      <c r="H24" s="26">
        <f>IFERROR(INDEX('Level Up Estimate'!$H$33:'Level Up Estimate'!$H$63,MATCH(B24,'Level Up Estimate'!$B$33:'Level Up Estimate'!$B$63,0)),"")</f>
        <v/>
      </c>
    </row>
    <row r="25" ht="18" customHeight="1">
      <c r="A25" s="2" t="inlineStr">
        <is>
          <t>11:30</t>
        </is>
      </c>
      <c r="B25" s="2" t="n">
        <v>11.5</v>
      </c>
      <c r="C25" s="2" t="n">
        <v>62</v>
      </c>
      <c r="H25" s="26">
        <f>IFERROR(INDEX('Level Up Estimate'!$H$33:'Level Up Estimate'!$H$63,MATCH(B25,'Level Up Estimate'!$B$33:'Level Up Estimate'!$B$63,0)),"")</f>
        <v/>
      </c>
    </row>
    <row r="26" ht="18" customHeight="1">
      <c r="A26" s="3" t="inlineStr">
        <is>
          <t>12:00</t>
        </is>
      </c>
      <c r="B26" s="3" t="n">
        <v>12</v>
      </c>
      <c r="C26" s="3" t="n">
        <v>72</v>
      </c>
      <c r="D26" s="4" t="inlineStr">
        <is>
          <t>Zone Objective #4</t>
        </is>
      </c>
      <c r="E26" s="3" t="inlineStr">
        <is>
          <t>Zone</t>
        </is>
      </c>
      <c r="F26" s="3" t="inlineStr">
        <is>
          <t>+25 spike</t>
        </is>
      </c>
      <c r="G26" s="5" t="n"/>
      <c r="H26" s="26">
        <f>IFERROR(INDEX('Level Up Estimate'!$H$33:'Level Up Estimate'!$H$63,MATCH(B26,'Level Up Estimate'!$B$33:'Level Up Estimate'!$B$63,0)),"")</f>
        <v/>
      </c>
    </row>
    <row r="27" ht="18" customHeight="1">
      <c r="A27" s="2" t="inlineStr">
        <is>
          <t>12:30</t>
        </is>
      </c>
      <c r="B27" s="2" t="n">
        <v>12.5</v>
      </c>
      <c r="C27" s="2" t="n">
        <v>65</v>
      </c>
      <c r="H27" s="26">
        <f>IFERROR(INDEX('Level Up Estimate'!$H$33:'Level Up Estimate'!$H$63,MATCH(B27,'Level Up Estimate'!$B$33:'Level Up Estimate'!$B$63,0)),"")</f>
        <v/>
      </c>
    </row>
    <row r="28" ht="18" customHeight="1">
      <c r="A28" s="2" t="inlineStr">
        <is>
          <t>13:00</t>
        </is>
      </c>
      <c r="B28" s="2" t="n">
        <v>13</v>
      </c>
      <c r="C28" s="2" t="n">
        <v>75</v>
      </c>
      <c r="H28" s="26">
        <f>IFERROR(INDEX('Level Up Estimate'!$H$33:'Level Up Estimate'!$H$63,MATCH(B28,'Level Up Estimate'!$B$33:'Level Up Estimate'!$B$63,0)),"")</f>
        <v/>
      </c>
    </row>
    <row r="29" ht="18" customHeight="1">
      <c r="A29" s="2" t="inlineStr">
        <is>
          <t>13:30</t>
        </is>
      </c>
      <c r="B29" s="2" t="n">
        <v>13.5</v>
      </c>
      <c r="C29" s="2" t="n">
        <v>82</v>
      </c>
      <c r="H29" s="26">
        <f>IFERROR(INDEX('Level Up Estimate'!$H$33:'Level Up Estimate'!$H$63,MATCH(B29,'Level Up Estimate'!$B$33:'Level Up Estimate'!$B$63,0)),"")</f>
        <v/>
      </c>
    </row>
    <row r="30" ht="18" customHeight="1">
      <c r="A30" s="2" t="inlineStr">
        <is>
          <t>14:00</t>
        </is>
      </c>
      <c r="B30" s="2" t="n">
        <v>14</v>
      </c>
      <c r="C30" s="2" t="n">
        <v>85</v>
      </c>
      <c r="H30" s="26">
        <f>IFERROR(INDEX('Level Up Estimate'!$H$33:'Level Up Estimate'!$H$63,MATCH(B30,'Level Up Estimate'!$B$33:'Level Up Estimate'!$B$63,0)),"")</f>
        <v/>
      </c>
    </row>
    <row r="31" ht="18" customHeight="1">
      <c r="A31" s="3" t="inlineStr">
        <is>
          <t>14:30</t>
        </is>
      </c>
      <c r="B31" s="3" t="n">
        <v>14.5</v>
      </c>
      <c r="C31" s="3" t="n">
        <v>92</v>
      </c>
      <c r="D31" s="4" t="inlineStr">
        <is>
          <t>Warning Phase</t>
        </is>
      </c>
      <c r="E31" s="3" t="inlineStr">
        <is>
          <t>System</t>
        </is>
      </c>
      <c r="F31" s="3" t="inlineStr">
        <is>
          <t>sustained high</t>
        </is>
      </c>
      <c r="G31" s="5" t="n"/>
      <c r="H31" s="26">
        <f>IFERROR(INDEX('Level Up Estimate'!$H$33:'Level Up Estimate'!$H$63,MATCH(B31,'Level Up Estimate'!$B$33:'Level Up Estimate'!$B$63,0)),"")</f>
        <v/>
      </c>
    </row>
    <row r="32" ht="18" customHeight="1">
      <c r="A32" s="3" t="inlineStr">
        <is>
          <t>15:00</t>
        </is>
      </c>
      <c r="B32" s="3" t="n">
        <v>15</v>
      </c>
      <c r="C32" s="3" t="n">
        <v>97</v>
      </c>
      <c r="D32" s="4" t="inlineStr">
        <is>
          <t>⚔ MAIN BOSS</t>
        </is>
      </c>
      <c r="E32" s="3" t="inlineStr">
        <is>
          <t>Main Boss</t>
        </is>
      </c>
      <c r="F32" s="3" t="inlineStr">
        <is>
          <t>+50 climax</t>
        </is>
      </c>
      <c r="G32" s="5" t="n"/>
      <c r="H32" s="26">
        <f>IFERROR(INDEX('Level Up Estimate'!$H$33:'Level Up Estimate'!$H$63,MATCH(B32,'Level Up Estimate'!$B$33:'Level Up Estimate'!$B$63,0)),"")</f>
        <v/>
      </c>
    </row>
  </sheetData>
  <conditionalFormatting sqref="C2:C32">
    <cfRule type="cellIs" priority="1" operator="between" dxfId="0">
      <formula>0</formula>
      <formula>39</formula>
    </cfRule>
    <cfRule type="cellIs" priority="2" operator="between" dxfId="1">
      <formula>40</formula>
      <formula>59</formula>
    </cfRule>
    <cfRule type="cellIs" priority="3" operator="between" dxfId="2">
      <formula>60</formula>
      <formula>79</formula>
    </cfRule>
    <cfRule type="cellIs" priority="4" operator="between" dxfId="3">
      <formula>80</formula>
      <formula>100</formula>
    </cfRule>
  </conditionalFormatting>
  <conditionalFormatting sqref="H2:H32">
    <cfRule type="cellIs" priority="5" operator="between" dxfId="4">
      <formula>1</formula>
      <formula>5</formula>
    </cfRule>
    <cfRule type="cellIs" priority="6" operator="between" dxfId="5">
      <formula>6</formula>
      <formula>10</formula>
    </cfRule>
    <cfRule type="cellIs" priority="7" operator="greaterThanOrEqual" dxfId="6">
      <formula>11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2" customWidth="1" min="4" max="4"/>
    <col width="16" customWidth="1" min="5" max="5"/>
    <col width="22" customWidth="1" min="6" max="6"/>
    <col width="35" customWidth="1" min="7" max="7"/>
  </cols>
  <sheetData>
    <row r="1">
      <c r="A1" s="1" t="inlineStr">
        <is>
          <t>Time</t>
        </is>
      </c>
      <c r="B1" s="1" t="inlineStr">
        <is>
          <t>Event Name</t>
        </is>
      </c>
      <c r="C1" s="1" t="inlineStr">
        <is>
          <t>Type</t>
        </is>
      </c>
      <c r="D1" s="1" t="inlineStr">
        <is>
          <t>Duration</t>
        </is>
      </c>
      <c r="E1" s="1" t="inlineStr">
        <is>
          <t>Tension Impact</t>
        </is>
      </c>
      <c r="F1" s="1" t="inlineStr">
        <is>
          <t>Reward</t>
        </is>
      </c>
      <c r="G1" s="1" t="inlineStr">
        <is>
          <t>Notes</t>
        </is>
      </c>
    </row>
    <row r="2">
      <c r="A2" s="6" t="inlineStr">
        <is>
          <t>0:00</t>
        </is>
      </c>
      <c r="B2" s="6" t="inlineStr">
        <is>
          <t>Game Start</t>
        </is>
      </c>
      <c r="C2" s="7" t="inlineStr">
        <is>
          <t>System</t>
        </is>
      </c>
      <c r="D2" s="6" t="inlineStr">
        <is>
          <t>—</t>
        </is>
      </c>
      <c r="E2" s="6" t="inlineStr">
        <is>
          <t>Baseline 20</t>
        </is>
      </c>
      <c r="F2" s="6" t="inlineStr">
        <is>
          <t>—</t>
        </is>
      </c>
      <c r="G2" s="6" t="inlineStr">
        <is>
          <t>ผู้เล่นเริ่มคุ้นเคยกับ controls</t>
        </is>
      </c>
    </row>
    <row r="3">
      <c r="A3" s="8" t="inlineStr">
        <is>
          <t>2:00</t>
        </is>
      </c>
      <c r="B3" s="8" t="inlineStr">
        <is>
          <t>Zone Objective #1</t>
        </is>
      </c>
      <c r="C3" s="9" t="inlineStr">
        <is>
          <t>Zone</t>
        </is>
      </c>
      <c r="D3" s="8" t="inlineStr">
        <is>
          <t>60s</t>
        </is>
      </c>
      <c r="E3" s="8" t="inlineStr">
        <is>
          <t>+30 spike</t>
        </is>
      </c>
      <c r="F3" s="8" t="inlineStr">
        <is>
          <t>EXP Bonus ×1.5 (30s)</t>
        </is>
      </c>
      <c r="G3" s="8" t="inlineStr">
        <is>
          <t>ต้องยืนบน zone อย่างน้อย 1 คน</t>
        </is>
      </c>
    </row>
    <row r="4">
      <c r="A4" s="6" t="inlineStr">
        <is>
          <t>4:30</t>
        </is>
      </c>
      <c r="B4" s="6" t="inlineStr">
        <is>
          <t>Level Up #1</t>
        </is>
      </c>
      <c r="C4" s="10" t="inlineStr">
        <is>
          <t>Level Up</t>
        </is>
      </c>
      <c r="D4" s="6" t="inlineStr">
        <is>
          <t>~15s</t>
        </is>
      </c>
      <c r="E4" s="6" t="inlineStr">
        <is>
          <t>+20 pause</t>
        </is>
      </c>
      <c r="F4" s="6" t="inlineStr">
        <is>
          <t>Upgrade Card (3 choices)</t>
        </is>
      </c>
      <c r="G4" s="6" t="inlineStr">
        <is>
          <t>เกมหยุด timeScale=0 รอเลือก</t>
        </is>
      </c>
    </row>
    <row r="5">
      <c r="A5" s="8" t="inlineStr">
        <is>
          <t>5:00</t>
        </is>
      </c>
      <c r="B5" s="8" t="inlineStr">
        <is>
          <t>Mini Boss #1</t>
        </is>
      </c>
      <c r="C5" s="11" t="inlineStr">
        <is>
          <t>Mini Boss</t>
        </is>
      </c>
      <c r="D5" s="8" t="inlineStr">
        <is>
          <t>60-90s</t>
        </is>
      </c>
      <c r="E5" s="8" t="inlineStr">
        <is>
          <t>+40 spike</t>
        </is>
      </c>
      <c r="F5" s="8" t="inlineStr">
        <is>
          <t>EXP Orb ×10</t>
        </is>
      </c>
      <c r="G5" s="8" t="inlineStr">
        <is>
          <t>HP = wave HP × 5</t>
        </is>
      </c>
    </row>
    <row r="6">
      <c r="A6" s="6" t="inlineStr">
        <is>
          <t>6:00</t>
        </is>
      </c>
      <c r="B6" s="6" t="inlineStr">
        <is>
          <t>Zone Objective #2</t>
        </is>
      </c>
      <c r="C6" s="12" t="inlineStr">
        <is>
          <t>Zone</t>
        </is>
      </c>
      <c r="D6" s="6" t="inlineStr">
        <is>
          <t>60s</t>
        </is>
      </c>
      <c r="E6" s="6" t="inlineStr">
        <is>
          <t>+25 spike</t>
        </is>
      </c>
      <c r="F6" s="6" t="inlineStr">
        <is>
          <t>Heal 30% HP</t>
        </is>
      </c>
      <c r="G6" s="6" t="inlineStr">
        <is>
          <t>—</t>
        </is>
      </c>
    </row>
    <row r="7">
      <c r="A7" s="8" t="inlineStr">
        <is>
          <t>8:00</t>
        </is>
      </c>
      <c r="B7" s="8" t="inlineStr">
        <is>
          <t>Zone Objective #3</t>
        </is>
      </c>
      <c r="C7" s="9" t="inlineStr">
        <is>
          <t>Zone</t>
        </is>
      </c>
      <c r="D7" s="8" t="inlineStr">
        <is>
          <t>60s</t>
        </is>
      </c>
      <c r="E7" s="8" t="inlineStr">
        <is>
          <t>+25 spike</t>
        </is>
      </c>
      <c r="F7" s="8" t="inlineStr">
        <is>
          <t>EXP Bonus ×1.5 (30s)</t>
        </is>
      </c>
      <c r="G7" s="8" t="inlineStr">
        <is>
          <t>—</t>
        </is>
      </c>
    </row>
    <row r="8">
      <c r="A8" s="6" t="inlineStr">
        <is>
          <t>10:00</t>
        </is>
      </c>
      <c r="B8" s="6" t="inlineStr">
        <is>
          <t>Mini Boss #2</t>
        </is>
      </c>
      <c r="C8" s="13" t="inlineStr">
        <is>
          <t>Mini Boss</t>
        </is>
      </c>
      <c r="D8" s="6" t="inlineStr">
        <is>
          <t>90-120s</t>
        </is>
      </c>
      <c r="E8" s="6" t="inlineStr">
        <is>
          <t>+45 spike</t>
        </is>
      </c>
      <c r="F8" s="6" t="inlineStr">
        <is>
          <t>EXP Orb ×15</t>
        </is>
      </c>
      <c r="G8" s="6" t="inlineStr">
        <is>
          <t>HP = wave HP × 7, มี AoE</t>
        </is>
      </c>
    </row>
    <row r="9">
      <c r="A9" s="8" t="inlineStr">
        <is>
          <t>12:00</t>
        </is>
      </c>
      <c r="B9" s="8" t="inlineStr">
        <is>
          <t>Zone Objective #4</t>
        </is>
      </c>
      <c r="C9" s="9" t="inlineStr">
        <is>
          <t>Zone</t>
        </is>
      </c>
      <c r="D9" s="8" t="inlineStr">
        <is>
          <t>60s</t>
        </is>
      </c>
      <c r="E9" s="8" t="inlineStr">
        <is>
          <t>+30 spike</t>
        </is>
      </c>
      <c r="F9" s="8" t="inlineStr">
        <is>
          <t>Synergy Recipe Hint</t>
        </is>
      </c>
      <c r="G9" s="8" t="inlineStr">
        <is>
          <t>แสดง recipe ที่ใกล้ครบ</t>
        </is>
      </c>
    </row>
    <row r="10">
      <c r="A10" s="6" t="inlineStr">
        <is>
          <t>14:00</t>
        </is>
      </c>
      <c r="B10" s="6" t="inlineStr">
        <is>
          <t>Warning Phase</t>
        </is>
      </c>
      <c r="C10" s="7" t="inlineStr">
        <is>
          <t>System</t>
        </is>
      </c>
      <c r="D10" s="6" t="inlineStr">
        <is>
          <t>60s</t>
        </is>
      </c>
      <c r="E10" s="6" t="inlineStr">
        <is>
          <t>+30 build</t>
        </is>
      </c>
      <c r="F10" s="6" t="inlineStr">
        <is>
          <t>—</t>
        </is>
      </c>
      <c r="G10" s="6" t="inlineStr">
        <is>
          <t>เพลงเปลี่ยน, enemy หนาขึ้น</t>
        </is>
      </c>
    </row>
    <row r="11">
      <c r="A11" s="8" t="inlineStr">
        <is>
          <t>15:00</t>
        </is>
      </c>
      <c r="B11" s="8" t="inlineStr">
        <is>
          <t>⚔ Main Boss</t>
        </is>
      </c>
      <c r="C11" s="14" t="inlineStr">
        <is>
          <t>Main Boss</t>
        </is>
      </c>
      <c r="D11" s="8" t="inlineStr">
        <is>
          <t>3-5 min</t>
        </is>
      </c>
      <c r="E11" s="8" t="inlineStr">
        <is>
          <t>+50 climax</t>
        </is>
      </c>
      <c r="F11" s="8" t="inlineStr">
        <is>
          <t>WIN condition</t>
        </is>
      </c>
      <c r="G11" s="8" t="inlineStr">
        <is>
          <t>Phase 1→2→3, Circle+Line AoE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40" customWidth="1" min="3" max="3"/>
    <col width="35" customWidth="1" min="4" max="4"/>
    <col width="12" customWidth="1" min="5" max="5"/>
    <col width="18" customWidth="1" min="6" max="6"/>
    <col width="30" customWidth="1" min="7" max="7"/>
  </cols>
  <sheetData>
    <row r="1" ht="24" customHeight="1">
      <c r="A1" s="15" t="inlineStr">
        <is>
          <t>Heartbeat Graph — Design Rules</t>
        </is>
      </c>
    </row>
    <row r="2">
      <c r="A2" s="1" t="inlineStr">
        <is>
          <t>Rule #</t>
        </is>
      </c>
      <c r="B2" s="1" t="inlineStr">
        <is>
          <t>Rule Name</t>
        </is>
      </c>
      <c r="C2" s="1" t="inlineStr">
        <is>
          <t>Description</t>
        </is>
      </c>
      <c r="D2" s="1" t="inlineStr">
        <is>
          <t>In-Game Example</t>
        </is>
      </c>
      <c r="E2" s="1" t="inlineStr">
        <is>
          <t>Priority</t>
        </is>
      </c>
      <c r="F2" s="1" t="inlineStr">
        <is>
          <t>Status</t>
        </is>
      </c>
      <c r="G2" s="1" t="inlineStr">
        <is>
          <t>Notes</t>
        </is>
      </c>
    </row>
    <row r="3">
      <c r="A3" s="6" t="n">
        <v>1</v>
      </c>
      <c r="B3" s="6" t="inlineStr">
        <is>
          <t>Peak &amp; Valley</t>
        </is>
      </c>
      <c r="C3" s="16" t="inlineStr">
        <is>
          <t>หลัง tension spike ทุกครั้งต้องมี relief ช่วงสั้นๆ ก่อน spike ถัดไป</t>
        </is>
      </c>
      <c r="D3" s="16" t="inlineStr">
        <is>
          <t>Mini Boss ตาย → เงียบ 30s → wave ปกติ</t>
        </is>
      </c>
      <c r="E3" s="17" t="inlineStr">
        <is>
          <t>Critical</t>
        </is>
      </c>
      <c r="F3" s="18" t="inlineStr">
        <is>
          <t>✅ Implemented</t>
        </is>
      </c>
      <c r="G3" s="6" t="inlineStr">
        <is>
          <t>ห้ามมี spike ติดกัน 2 อัน</t>
        </is>
      </c>
    </row>
    <row r="4">
      <c r="A4" s="19" t="n">
        <v>2</v>
      </c>
      <c r="B4" s="19" t="inlineStr">
        <is>
          <t>Escalation Ceiling</t>
        </is>
      </c>
      <c r="C4" s="20" t="inlineStr">
        <is>
          <t>tension สูงสุดต้องเพิ่มขึ้นทุก 5 นาที</t>
        </is>
      </c>
      <c r="D4" s="20" t="inlineStr">
        <is>
          <t>5min max=82, 10min max=87, 15min=97</t>
        </is>
      </c>
      <c r="E4" s="21" t="inlineStr">
        <is>
          <t>Critical</t>
        </is>
      </c>
      <c r="F4" s="18" t="inlineStr">
        <is>
          <t>✅ Implemented</t>
        </is>
      </c>
      <c r="G4" s="19" t="inlineStr">
        <is>
          <t>ให้ความรู้สึกว่าเดิมพันสูงขึ้น</t>
        </is>
      </c>
    </row>
    <row r="5">
      <c r="A5" s="6" t="n">
        <v>3</v>
      </c>
      <c r="B5" s="6" t="inlineStr">
        <is>
          <t>Pause Rhythm</t>
        </is>
      </c>
      <c r="C5" s="16" t="inlineStr">
        <is>
          <t>Level Up pause ทุกๆ ~2 นาทีช่วยให้ผู้เล่นหายใจ</t>
        </is>
      </c>
      <c r="D5" s="16" t="inlineStr">
        <is>
          <t>timeScale=0 ระหว่างเลือก upgrade card</t>
        </is>
      </c>
      <c r="E5" s="22" t="inlineStr">
        <is>
          <t>High</t>
        </is>
      </c>
      <c r="F5" s="18" t="inlineStr">
        <is>
          <t>✅ Implemented</t>
        </is>
      </c>
      <c r="G5" s="6" t="inlineStr">
        <is>
          <t>อย่าให้ pause นานเกิน 30s</t>
        </is>
      </c>
    </row>
    <row r="6">
      <c r="A6" s="19" t="n">
        <v>4</v>
      </c>
      <c r="B6" s="19" t="inlineStr">
        <is>
          <t>Anticipation Build</t>
        </is>
      </c>
      <c r="C6" s="20" t="inlineStr">
        <is>
          <t>ก่อน big event ต้องมี build-up ที่จับสังเกตได้</t>
        </is>
      </c>
      <c r="D6" s="20" t="inlineStr">
        <is>
          <t>tension ขึ้นจาก 65→92 ใน 2:30 นาทีก่อน boss</t>
        </is>
      </c>
      <c r="E6" s="23" t="inlineStr">
        <is>
          <t>High</t>
        </is>
      </c>
      <c r="F6" s="24" t="inlineStr">
        <is>
          <t>🔲 Planned</t>
        </is>
      </c>
      <c r="G6" s="19" t="inlineStr">
        <is>
          <t>เพลง + visual cue</t>
        </is>
      </c>
    </row>
    <row r="7">
      <c r="A7" s="6" t="n">
        <v>5</v>
      </c>
      <c r="B7" s="6" t="inlineStr">
        <is>
          <t>Relief Reward</t>
        </is>
      </c>
      <c r="C7" s="16" t="inlineStr">
        <is>
          <t>หลัง high tension ต้องมี reward ที่จับต้องได้ชัดเจน</t>
        </is>
      </c>
      <c r="D7" s="16" t="inlineStr">
        <is>
          <t>Boss ตาย → EXP orb ฝน + ดนตรีเปลี่ยน</t>
        </is>
      </c>
      <c r="E7" s="17" t="inlineStr">
        <is>
          <t>Critical</t>
        </is>
      </c>
      <c r="F7" s="24" t="inlineStr">
        <is>
          <t>🔲 Planned</t>
        </is>
      </c>
      <c r="G7" s="6" t="inlineStr">
        <is>
          <t>ให้ dopamine hit ทันที</t>
        </is>
      </c>
    </row>
    <row r="8">
      <c r="A8" s="19" t="n">
        <v>6</v>
      </c>
      <c r="B8" s="19" t="inlineStr">
        <is>
          <t>Player Agency</t>
        </is>
      </c>
      <c r="C8" s="20" t="inlineStr">
        <is>
          <t>ผู้เล่นต้องรู้สึกว่าตัวเองมีอำนาจในการตัดสินใจ</t>
        </is>
      </c>
      <c r="D8" s="20" t="inlineStr">
        <is>
          <t>Upgrade choice, positioning ใน Zone</t>
        </is>
      </c>
      <c r="E8" s="23" t="inlineStr">
        <is>
          <t>High</t>
        </is>
      </c>
      <c r="F8" s="18" t="inlineStr">
        <is>
          <t>✅ Implemented</t>
        </is>
      </c>
      <c r="G8" s="19" t="inlineStr">
        <is>
          <t>อย่าให้ RNG มากเกิน</t>
        </is>
      </c>
    </row>
    <row r="9">
      <c r="A9" s="6" t="n">
        <v>7</v>
      </c>
      <c r="B9" s="6" t="inlineStr">
        <is>
          <t>Solo/Multi Scaling</t>
        </is>
      </c>
      <c r="C9" s="16" t="inlineStr">
        <is>
          <t>mechanic ทุกอย่างต้องทำงานได้ทั้ง 1-4 คน</t>
        </is>
      </c>
      <c r="D9" s="16" t="inlineStr">
        <is>
          <t>Boss HP × player count, Zone size scale</t>
        </is>
      </c>
      <c r="E9" s="17" t="inlineStr">
        <is>
          <t>Critical</t>
        </is>
      </c>
      <c r="F9" s="24" t="inlineStr">
        <is>
          <t>🔲 Planned</t>
        </is>
      </c>
      <c r="G9" s="6" t="inlineStr">
        <is>
          <t>Solo = ง่ายกว่า, 4P = chaos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6" customWidth="1" min="4" max="4"/>
    <col width="18" customWidth="1" min="5" max="5"/>
    <col width="18" customWidth="1" min="6" max="6"/>
    <col width="14" customWidth="1" min="7" max="7"/>
    <col width="12" customWidth="1" min="8" max="8"/>
  </cols>
  <sheetData>
    <row r="1">
      <c r="A1" s="27" t="inlineStr">
        <is>
          <t>⚙ Assumptions</t>
        </is>
      </c>
    </row>
    <row r="3">
      <c r="A3" s="28" t="inlineStr">
        <is>
          <t>Base EXP to Level</t>
        </is>
      </c>
      <c r="B3" s="29" t="n">
        <v>100</v>
      </c>
      <c r="C3" s="30" t="inlineStr">
        <is>
          <t>EXP</t>
        </is>
      </c>
      <c r="D3" s="31" t="inlineStr">
        <is>
          <t>SharedExperienceManager.baseExpToLevel</t>
        </is>
      </c>
    </row>
    <row r="4">
      <c r="A4" s="28" t="inlineStr">
        <is>
          <t>EXP Growth Rate</t>
        </is>
      </c>
      <c r="B4" s="29" t="n">
        <v>1.25</v>
      </c>
      <c r="C4" s="30" t="inlineStr">
        <is>
          <t>multiplier</t>
        </is>
      </c>
      <c r="D4" s="31" t="inlineStr">
        <is>
          <t>SharedExperienceManager.expGrowthRate</t>
        </is>
      </c>
    </row>
    <row r="5">
      <c r="A5" s="28" t="inlineStr">
        <is>
          <t>Base Enemy EXP</t>
        </is>
      </c>
      <c r="B5" s="29" t="n">
        <v>10</v>
      </c>
      <c r="C5" s="30" t="inlineStr">
        <is>
          <t>EXP/kill</t>
        </is>
      </c>
      <c r="D5" s="31" t="inlineStr">
        <is>
          <t>ค่า base ก่อน wave scaling</t>
        </is>
      </c>
    </row>
    <row r="6">
      <c r="A6" s="28" t="inlineStr">
        <is>
          <t>Enemy Spawn Rate</t>
        </is>
      </c>
      <c r="B6" s="29" t="n">
        <v>1.5</v>
      </c>
      <c r="C6" s="30" t="inlineStr">
        <is>
          <t>seconds/enemy</t>
        </is>
      </c>
      <c r="D6" s="31" t="inlineStr">
        <is>
          <t>baseSpawnRate ใน EnemySpawner</t>
        </is>
      </c>
    </row>
    <row r="7">
      <c r="A7" s="28" t="inlineStr">
        <is>
          <t>Zone Objective Bonus</t>
        </is>
      </c>
      <c r="B7" s="29" t="n">
        <v>1.5</v>
      </c>
      <c r="C7" s="30" t="inlineStr">
        <is>
          <t>multiplier</t>
        </is>
      </c>
      <c r="D7" s="31" t="inlineStr">
        <is>
          <t>EXP Bonus เมื่อทำ zone สำเร็จ</t>
        </is>
      </c>
    </row>
    <row r="8">
      <c r="A8" s="28" t="inlineStr">
        <is>
          <t>Zone Bonus Duration</t>
        </is>
      </c>
      <c r="B8" s="29" t="n">
        <v>30</v>
      </c>
      <c r="C8" s="30" t="inlineStr">
        <is>
          <t>seconds</t>
        </is>
      </c>
      <c r="D8" s="31" t="inlineStr">
        <is>
          <t>ระยะเวลา EXP bonus</t>
        </is>
      </c>
    </row>
    <row r="9">
      <c r="A9" s="28" t="inlineStr">
        <is>
          <t>Wave EXP Mult/Wave</t>
        </is>
      </c>
      <c r="B9" s="29" t="n">
        <v>0.15</v>
      </c>
      <c r="C9" s="30" t="inlineStr">
        <is>
          <t>+% per wave</t>
        </is>
      </c>
      <c r="D9" s="31" t="inlineStr">
        <is>
          <t>expMultPerWave</t>
        </is>
      </c>
    </row>
    <row r="10">
      <c r="A10" s="28" t="inlineStr">
        <is>
          <t>Wave Duration</t>
        </is>
      </c>
      <c r="B10" s="29" t="n">
        <v>60</v>
      </c>
      <c r="C10" s="30" t="inlineStr">
        <is>
          <t>seconds</t>
        </is>
      </c>
      <c r="D10" s="31" t="inlineStr">
        <is>
          <t>ก่อนขึ้น wave ถัดไป</t>
        </is>
      </c>
    </row>
    <row r="11">
      <c r="A11" s="28" t="inlineStr">
        <is>
          <t>Player Count</t>
        </is>
      </c>
      <c r="B11" s="29" t="n">
        <v>2</v>
      </c>
      <c r="C11" s="30" t="inlineStr">
        <is>
          <t>players</t>
        </is>
      </c>
      <c r="D11" s="31" t="inlineStr">
        <is>
          <t>ส่งผลต่อ enemy ที่ฆ่าได้ต่อนาที</t>
        </is>
      </c>
    </row>
    <row r="13">
      <c r="A13" s="27" t="inlineStr">
        <is>
          <t>📊 EXP Required per Level</t>
        </is>
      </c>
    </row>
    <row r="14">
      <c r="A14" s="25" t="inlineStr">
        <is>
          <t>Level</t>
        </is>
      </c>
      <c r="B14" s="25" t="inlineStr">
        <is>
          <t>EXP to Next</t>
        </is>
      </c>
      <c r="C14" s="25" t="inlineStr">
        <is>
          <t>Cumulative EXP</t>
        </is>
      </c>
      <c r="D14" s="25" t="inlineStr">
        <is>
          <t>Notes</t>
        </is>
      </c>
    </row>
    <row r="15">
      <c r="A15" s="32" t="n">
        <v>1</v>
      </c>
      <c r="B15" s="32">
        <f>INT($B$3*$B$4^(A15-1))</f>
        <v/>
      </c>
      <c r="C15" s="32" t="n">
        <v>0</v>
      </c>
      <c r="D15" s="33" t="inlineStr"/>
    </row>
    <row r="16">
      <c r="A16" s="34" t="n">
        <v>2</v>
      </c>
      <c r="B16" s="34">
        <f>INT($B$3*$B$4^(A16-1))</f>
        <v/>
      </c>
      <c r="C16" s="34">
        <f>C15+B15</f>
        <v/>
      </c>
      <c r="D16" s="35" t="inlineStr"/>
    </row>
    <row r="17">
      <c r="A17" s="32" t="n">
        <v>3</v>
      </c>
      <c r="B17" s="32">
        <f>INT($B$3*$B$4^(A17-1))</f>
        <v/>
      </c>
      <c r="C17" s="32">
        <f>C16+B16</f>
        <v/>
      </c>
      <c r="D17" s="33" t="inlineStr"/>
    </row>
    <row r="18">
      <c r="A18" s="34" t="n">
        <v>4</v>
      </c>
      <c r="B18" s="34">
        <f>INT($B$3*$B$4^(A18-1))</f>
        <v/>
      </c>
      <c r="C18" s="34">
        <f>C17+B17</f>
        <v/>
      </c>
      <c r="D18" s="35" t="inlineStr"/>
    </row>
    <row r="19">
      <c r="A19" s="32" t="n">
        <v>5</v>
      </c>
      <c r="B19" s="32">
        <f>INT($B$3*$B$4^(A19-1))</f>
        <v/>
      </c>
      <c r="C19" s="32">
        <f>C18+B18</f>
        <v/>
      </c>
      <c r="D19" s="33" t="inlineStr">
        <is>
          <t>Mini Boss territory</t>
        </is>
      </c>
    </row>
    <row r="20">
      <c r="A20" s="34" t="n">
        <v>6</v>
      </c>
      <c r="B20" s="34">
        <f>INT($B$3*$B$4^(A20-1))</f>
        <v/>
      </c>
      <c r="C20" s="34">
        <f>C19+B19</f>
        <v/>
      </c>
      <c r="D20" s="35" t="inlineStr"/>
    </row>
    <row r="21">
      <c r="A21" s="32" t="n">
        <v>7</v>
      </c>
      <c r="B21" s="32">
        <f>INT($B$3*$B$4^(A21-1))</f>
        <v/>
      </c>
      <c r="C21" s="32">
        <f>C20+B20</f>
        <v/>
      </c>
      <c r="D21" s="33" t="inlineStr"/>
    </row>
    <row r="22">
      <c r="A22" s="34" t="n">
        <v>8</v>
      </c>
      <c r="B22" s="34">
        <f>INT($B$3*$B$4^(A22-1))</f>
        <v/>
      </c>
      <c r="C22" s="34">
        <f>C21+B21</f>
        <v/>
      </c>
      <c r="D22" s="35" t="inlineStr"/>
    </row>
    <row r="23">
      <c r="A23" s="32" t="n">
        <v>9</v>
      </c>
      <c r="B23" s="32">
        <f>INT($B$3*$B$4^(A23-1))</f>
        <v/>
      </c>
      <c r="C23" s="32">
        <f>C22+B22</f>
        <v/>
      </c>
      <c r="D23" s="33" t="inlineStr"/>
    </row>
    <row r="24">
      <c r="A24" s="34" t="n">
        <v>10</v>
      </c>
      <c r="B24" s="34">
        <f>INT($B$3*$B$4^(A24-1))</f>
        <v/>
      </c>
      <c r="C24" s="34">
        <f>C23+B23</f>
        <v/>
      </c>
      <c r="D24" s="35" t="inlineStr">
        <is>
          <t>Mid-game</t>
        </is>
      </c>
    </row>
    <row r="25">
      <c r="A25" s="32" t="n">
        <v>11</v>
      </c>
      <c r="B25" s="32">
        <f>INT($B$3*$B$4^(A25-1))</f>
        <v/>
      </c>
      <c r="C25" s="32">
        <f>C24+B24</f>
        <v/>
      </c>
      <c r="D25" s="33" t="inlineStr"/>
    </row>
    <row r="26">
      <c r="A26" s="34" t="n">
        <v>12</v>
      </c>
      <c r="B26" s="34">
        <f>INT($B$3*$B$4^(A26-1))</f>
        <v/>
      </c>
      <c r="C26" s="34">
        <f>C25+B25</f>
        <v/>
      </c>
      <c r="D26" s="35" t="inlineStr"/>
    </row>
    <row r="27">
      <c r="A27" s="32" t="n">
        <v>13</v>
      </c>
      <c r="B27" s="32">
        <f>INT($B$3*$B$4^(A27-1))</f>
        <v/>
      </c>
      <c r="C27" s="32">
        <f>C26+B26</f>
        <v/>
      </c>
      <c r="D27" s="33" t="inlineStr"/>
    </row>
    <row r="28">
      <c r="A28" s="34" t="n">
        <v>14</v>
      </c>
      <c r="B28" s="34">
        <f>INT($B$3*$B$4^(A28-1))</f>
        <v/>
      </c>
      <c r="C28" s="34">
        <f>C27+B27</f>
        <v/>
      </c>
      <c r="D28" s="35" t="inlineStr"/>
    </row>
    <row r="29">
      <c r="A29" s="32" t="n">
        <v>15</v>
      </c>
      <c r="B29" s="32">
        <f>INT($B$3*$B$4^(A29-1))</f>
        <v/>
      </c>
      <c r="C29" s="32">
        <f>C28+B28</f>
        <v/>
      </c>
      <c r="D29" s="33" t="inlineStr">
        <is>
          <t>Late game</t>
        </is>
      </c>
    </row>
    <row r="31">
      <c r="A31" s="27" t="inlineStr">
        <is>
          <t>⏱ Timeline EXP Model (per 30 seconds)</t>
        </is>
      </c>
    </row>
    <row r="32">
      <c r="A32" s="25" t="inlineStr">
        <is>
          <t>Time</t>
        </is>
      </c>
      <c r="B32" s="25" t="inlineStr">
        <is>
          <t>Minutes</t>
        </is>
      </c>
      <c r="C32" s="25" t="inlineStr">
        <is>
          <t>Wave #</t>
        </is>
      </c>
      <c r="D32" s="25" t="inlineStr">
        <is>
          <t>EXP/min (base)</t>
        </is>
      </c>
      <c r="E32" s="25" t="inlineStr">
        <is>
          <t>Zone Bonus Active</t>
        </is>
      </c>
      <c r="F32" s="25" t="inlineStr">
        <is>
          <t>EXP Gained (30s)</t>
        </is>
      </c>
      <c r="G32" s="25" t="inlineStr">
        <is>
          <t>Total EXP</t>
        </is>
      </c>
      <c r="H32" s="25" t="inlineStr">
        <is>
          <t>Est. Level</t>
        </is>
      </c>
    </row>
    <row r="33">
      <c r="A33" s="36" t="inlineStr">
        <is>
          <t>0:00</t>
        </is>
      </c>
      <c r="B33" s="37" t="n">
        <v>0</v>
      </c>
      <c r="C33" s="36">
        <f>INT(B33/$B$10)+1</f>
        <v/>
      </c>
      <c r="D33" s="37">
        <f>(60/$B$6)*$B$5*$B$11*(1+(C33-1)*$B$9)</f>
        <v/>
      </c>
      <c r="E33" s="36" t="inlineStr"/>
      <c r="F33" s="38">
        <f>IF(E33="✓",D33/2*$B$7,D33/2)</f>
        <v/>
      </c>
      <c r="G33" s="32">
        <f>F33</f>
        <v/>
      </c>
      <c r="H33" s="39">
        <f>IFERROR(MATCH(G33,$C$15:$C$29,1),1)</f>
        <v/>
      </c>
    </row>
    <row r="34">
      <c r="A34" s="36" t="inlineStr">
        <is>
          <t>0:30</t>
        </is>
      </c>
      <c r="B34" s="37" t="n">
        <v>0.5</v>
      </c>
      <c r="C34" s="36">
        <f>INT(B34/$B$10)+1</f>
        <v/>
      </c>
      <c r="D34" s="37">
        <f>(60/$B$6)*$B$5*$B$11*(1+(C34-1)*$B$9)</f>
        <v/>
      </c>
      <c r="E34" s="36" t="inlineStr"/>
      <c r="F34" s="38">
        <f>IF(E34="✓",D34/2*$B$7,D34/2)</f>
        <v/>
      </c>
      <c r="G34" s="32">
        <f>G33+F34</f>
        <v/>
      </c>
      <c r="H34" s="39">
        <f>IFERROR(MATCH(G34,$C$15:$C$29,1),1)</f>
        <v/>
      </c>
    </row>
    <row r="35">
      <c r="A35" s="36" t="inlineStr">
        <is>
          <t>1:00</t>
        </is>
      </c>
      <c r="B35" s="37" t="n">
        <v>1</v>
      </c>
      <c r="C35" s="36">
        <f>INT(B35/$B$10)+1</f>
        <v/>
      </c>
      <c r="D35" s="37">
        <f>(60/$B$6)*$B$5*$B$11*(1+(C35-1)*$B$9)</f>
        <v/>
      </c>
      <c r="E35" s="36" t="inlineStr"/>
      <c r="F35" s="38">
        <f>IF(E35="✓",D35/2*$B$7,D35/2)</f>
        <v/>
      </c>
      <c r="G35" s="32">
        <f>G34+F35</f>
        <v/>
      </c>
      <c r="H35" s="39">
        <f>IFERROR(MATCH(G35,$C$15:$C$29,1),1)</f>
        <v/>
      </c>
    </row>
    <row r="36">
      <c r="A36" s="36" t="inlineStr">
        <is>
          <t>1:30</t>
        </is>
      </c>
      <c r="B36" s="37" t="n">
        <v>1.5</v>
      </c>
      <c r="C36" s="36">
        <f>INT(B36/$B$10)+1</f>
        <v/>
      </c>
      <c r="D36" s="37">
        <f>(60/$B$6)*$B$5*$B$11*(1+(C36-1)*$B$9)</f>
        <v/>
      </c>
      <c r="E36" s="36" t="inlineStr"/>
      <c r="F36" s="38">
        <f>IF(E36="✓",D36/2*$B$7,D36/2)</f>
        <v/>
      </c>
      <c r="G36" s="32">
        <f>G35+F36</f>
        <v/>
      </c>
      <c r="H36" s="39">
        <f>IFERROR(MATCH(G36,$C$15:$C$29,1),1)</f>
        <v/>
      </c>
    </row>
    <row r="37">
      <c r="A37" s="40" t="inlineStr">
        <is>
          <t>2:00</t>
        </is>
      </c>
      <c r="B37" s="41" t="n">
        <v>2</v>
      </c>
      <c r="C37" s="40">
        <f>INT(B37/$B$10)+1</f>
        <v/>
      </c>
      <c r="D37" s="41">
        <f>(60/$B$6)*$B$5*$B$11*(1+(C37-1)*$B$9)</f>
        <v/>
      </c>
      <c r="E37" s="40" t="inlineStr">
        <is>
          <t>✓</t>
        </is>
      </c>
      <c r="F37" s="42">
        <f>IF(E37="✓",D37/2*$B$7,D37/2)</f>
        <v/>
      </c>
      <c r="G37" s="43">
        <f>G36+F37</f>
        <v/>
      </c>
      <c r="H37" s="44">
        <f>IFERROR(MATCH(G37,$C$15:$C$29,1),1)</f>
        <v/>
      </c>
    </row>
    <row r="38">
      <c r="A38" s="40" t="inlineStr">
        <is>
          <t>2:30</t>
        </is>
      </c>
      <c r="B38" s="41" t="n">
        <v>2.5</v>
      </c>
      <c r="C38" s="40">
        <f>INT(B38/$B$10)+1</f>
        <v/>
      </c>
      <c r="D38" s="41">
        <f>(60/$B$6)*$B$5*$B$11*(1+(C38-1)*$B$9)</f>
        <v/>
      </c>
      <c r="E38" s="40" t="inlineStr">
        <is>
          <t>✓</t>
        </is>
      </c>
      <c r="F38" s="42">
        <f>IF(E38="✓",D38/2*$B$7,D38/2)</f>
        <v/>
      </c>
      <c r="G38" s="43">
        <f>G37+F38</f>
        <v/>
      </c>
      <c r="H38" s="44">
        <f>IFERROR(MATCH(G38,$C$15:$C$29,1),1)</f>
        <v/>
      </c>
    </row>
    <row r="39">
      <c r="A39" s="36" t="inlineStr">
        <is>
          <t>3:00</t>
        </is>
      </c>
      <c r="B39" s="37" t="n">
        <v>3</v>
      </c>
      <c r="C39" s="36">
        <f>INT(B39/$B$10)+1</f>
        <v/>
      </c>
      <c r="D39" s="37">
        <f>(60/$B$6)*$B$5*$B$11*(1+(C39-1)*$B$9)</f>
        <v/>
      </c>
      <c r="E39" s="36" t="inlineStr"/>
      <c r="F39" s="38">
        <f>IF(E39="✓",D39/2*$B$7,D39/2)</f>
        <v/>
      </c>
      <c r="G39" s="32">
        <f>G38+F39</f>
        <v/>
      </c>
      <c r="H39" s="39">
        <f>IFERROR(MATCH(G39,$C$15:$C$29,1),1)</f>
        <v/>
      </c>
    </row>
    <row r="40">
      <c r="A40" s="36" t="inlineStr">
        <is>
          <t>3:30</t>
        </is>
      </c>
      <c r="B40" s="37" t="n">
        <v>3.5</v>
      </c>
      <c r="C40" s="36">
        <f>INT(B40/$B$10)+1</f>
        <v/>
      </c>
      <c r="D40" s="37">
        <f>(60/$B$6)*$B$5*$B$11*(1+(C40-1)*$B$9)</f>
        <v/>
      </c>
      <c r="E40" s="36" t="inlineStr"/>
      <c r="F40" s="38">
        <f>IF(E40="✓",D40/2*$B$7,D40/2)</f>
        <v/>
      </c>
      <c r="G40" s="32">
        <f>G39+F40</f>
        <v/>
      </c>
      <c r="H40" s="39">
        <f>IFERROR(MATCH(G40,$C$15:$C$29,1),1)</f>
        <v/>
      </c>
    </row>
    <row r="41">
      <c r="A41" s="36" t="inlineStr">
        <is>
          <t>4:00</t>
        </is>
      </c>
      <c r="B41" s="37" t="n">
        <v>4</v>
      </c>
      <c r="C41" s="36">
        <f>INT(B41/$B$10)+1</f>
        <v/>
      </c>
      <c r="D41" s="37">
        <f>(60/$B$6)*$B$5*$B$11*(1+(C41-1)*$B$9)</f>
        <v/>
      </c>
      <c r="E41" s="36" t="inlineStr"/>
      <c r="F41" s="38">
        <f>IF(E41="✓",D41/2*$B$7,D41/2)</f>
        <v/>
      </c>
      <c r="G41" s="32">
        <f>G40+F41</f>
        <v/>
      </c>
      <c r="H41" s="39">
        <f>IFERROR(MATCH(G41,$C$15:$C$29,1),1)</f>
        <v/>
      </c>
    </row>
    <row r="42">
      <c r="A42" s="36" t="inlineStr">
        <is>
          <t>4:30</t>
        </is>
      </c>
      <c r="B42" s="37" t="n">
        <v>4.5</v>
      </c>
      <c r="C42" s="36">
        <f>INT(B42/$B$10)+1</f>
        <v/>
      </c>
      <c r="D42" s="37">
        <f>(60/$B$6)*$B$5*$B$11*(1+(C42-1)*$B$9)</f>
        <v/>
      </c>
      <c r="E42" s="36" t="inlineStr"/>
      <c r="F42" s="38">
        <f>IF(E42="✓",D42/2*$B$7,D42/2)</f>
        <v/>
      </c>
      <c r="G42" s="32">
        <f>G41+F42</f>
        <v/>
      </c>
      <c r="H42" s="39">
        <f>IFERROR(MATCH(G42,$C$15:$C$29,1),1)</f>
        <v/>
      </c>
    </row>
    <row r="43">
      <c r="A43" s="36" t="inlineStr">
        <is>
          <t>5:00</t>
        </is>
      </c>
      <c r="B43" s="37" t="n">
        <v>5</v>
      </c>
      <c r="C43" s="36">
        <f>INT(B43/$B$10)+1</f>
        <v/>
      </c>
      <c r="D43" s="37">
        <f>(60/$B$6)*$B$5*$B$11*(1+(C43-1)*$B$9)</f>
        <v/>
      </c>
      <c r="E43" s="36" t="inlineStr"/>
      <c r="F43" s="38">
        <f>IF(E43="✓",D43/2*$B$7,D43/2)</f>
        <v/>
      </c>
      <c r="G43" s="32">
        <f>G42+F43</f>
        <v/>
      </c>
      <c r="H43" s="39">
        <f>IFERROR(MATCH(G43,$C$15:$C$29,1),1)</f>
        <v/>
      </c>
    </row>
    <row r="44">
      <c r="A44" s="36" t="inlineStr">
        <is>
          <t>5:30</t>
        </is>
      </c>
      <c r="B44" s="37" t="n">
        <v>5.5</v>
      </c>
      <c r="C44" s="36">
        <f>INT(B44/$B$10)+1</f>
        <v/>
      </c>
      <c r="D44" s="37">
        <f>(60/$B$6)*$B$5*$B$11*(1+(C44-1)*$B$9)</f>
        <v/>
      </c>
      <c r="E44" s="36" t="inlineStr"/>
      <c r="F44" s="38">
        <f>IF(E44="✓",D44/2*$B$7,D44/2)</f>
        <v/>
      </c>
      <c r="G44" s="32">
        <f>G43+F44</f>
        <v/>
      </c>
      <c r="H44" s="39">
        <f>IFERROR(MATCH(G44,$C$15:$C$29,1),1)</f>
        <v/>
      </c>
    </row>
    <row r="45">
      <c r="A45" s="40" t="inlineStr">
        <is>
          <t>6:00</t>
        </is>
      </c>
      <c r="B45" s="41" t="n">
        <v>6</v>
      </c>
      <c r="C45" s="40">
        <f>INT(B45/$B$10)+1</f>
        <v/>
      </c>
      <c r="D45" s="41">
        <f>(60/$B$6)*$B$5*$B$11*(1+(C45-1)*$B$9)</f>
        <v/>
      </c>
      <c r="E45" s="40" t="inlineStr">
        <is>
          <t>✓</t>
        </is>
      </c>
      <c r="F45" s="42">
        <f>IF(E45="✓",D45/2*$B$7,D45/2)</f>
        <v/>
      </c>
      <c r="G45" s="43">
        <f>G44+F45</f>
        <v/>
      </c>
      <c r="H45" s="44">
        <f>IFERROR(MATCH(G45,$C$15:$C$29,1),1)</f>
        <v/>
      </c>
    </row>
    <row r="46">
      <c r="A46" s="40" t="inlineStr">
        <is>
          <t>6:30</t>
        </is>
      </c>
      <c r="B46" s="41" t="n">
        <v>6.5</v>
      </c>
      <c r="C46" s="40">
        <f>INT(B46/$B$10)+1</f>
        <v/>
      </c>
      <c r="D46" s="41">
        <f>(60/$B$6)*$B$5*$B$11*(1+(C46-1)*$B$9)</f>
        <v/>
      </c>
      <c r="E46" s="40" t="inlineStr">
        <is>
          <t>✓</t>
        </is>
      </c>
      <c r="F46" s="42">
        <f>IF(E46="✓",D46/2*$B$7,D46/2)</f>
        <v/>
      </c>
      <c r="G46" s="43">
        <f>G45+F46</f>
        <v/>
      </c>
      <c r="H46" s="44">
        <f>IFERROR(MATCH(G46,$C$15:$C$29,1),1)</f>
        <v/>
      </c>
    </row>
    <row r="47">
      <c r="A47" s="36" t="inlineStr">
        <is>
          <t>7:00</t>
        </is>
      </c>
      <c r="B47" s="37" t="n">
        <v>7</v>
      </c>
      <c r="C47" s="36">
        <f>INT(B47/$B$10)+1</f>
        <v/>
      </c>
      <c r="D47" s="37">
        <f>(60/$B$6)*$B$5*$B$11*(1+(C47-1)*$B$9)</f>
        <v/>
      </c>
      <c r="E47" s="36" t="inlineStr"/>
      <c r="F47" s="38">
        <f>IF(E47="✓",D47/2*$B$7,D47/2)</f>
        <v/>
      </c>
      <c r="G47" s="32">
        <f>G46+F47</f>
        <v/>
      </c>
      <c r="H47" s="39">
        <f>IFERROR(MATCH(G47,$C$15:$C$29,1),1)</f>
        <v/>
      </c>
    </row>
    <row r="48">
      <c r="A48" s="36" t="inlineStr">
        <is>
          <t>7:30</t>
        </is>
      </c>
      <c r="B48" s="37" t="n">
        <v>7.5</v>
      </c>
      <c r="C48" s="36">
        <f>INT(B48/$B$10)+1</f>
        <v/>
      </c>
      <c r="D48" s="37">
        <f>(60/$B$6)*$B$5*$B$11*(1+(C48-1)*$B$9)</f>
        <v/>
      </c>
      <c r="E48" s="36" t="inlineStr"/>
      <c r="F48" s="38">
        <f>IF(E48="✓",D48/2*$B$7,D48/2)</f>
        <v/>
      </c>
      <c r="G48" s="32">
        <f>G47+F48</f>
        <v/>
      </c>
      <c r="H48" s="39">
        <f>IFERROR(MATCH(G48,$C$15:$C$29,1),1)</f>
        <v/>
      </c>
    </row>
    <row r="49">
      <c r="A49" s="40" t="inlineStr">
        <is>
          <t>8:00</t>
        </is>
      </c>
      <c r="B49" s="41" t="n">
        <v>8</v>
      </c>
      <c r="C49" s="40">
        <f>INT(B49/$B$10)+1</f>
        <v/>
      </c>
      <c r="D49" s="41">
        <f>(60/$B$6)*$B$5*$B$11*(1+(C49-1)*$B$9)</f>
        <v/>
      </c>
      <c r="E49" s="40" t="inlineStr">
        <is>
          <t>✓</t>
        </is>
      </c>
      <c r="F49" s="42">
        <f>IF(E49="✓",D49/2*$B$7,D49/2)</f>
        <v/>
      </c>
      <c r="G49" s="43">
        <f>G48+F49</f>
        <v/>
      </c>
      <c r="H49" s="44">
        <f>IFERROR(MATCH(G49,$C$15:$C$29,1),1)</f>
        <v/>
      </c>
    </row>
    <row r="50">
      <c r="A50" s="40" t="inlineStr">
        <is>
          <t>8:30</t>
        </is>
      </c>
      <c r="B50" s="41" t="n">
        <v>8.5</v>
      </c>
      <c r="C50" s="40">
        <f>INT(B50/$B$10)+1</f>
        <v/>
      </c>
      <c r="D50" s="41">
        <f>(60/$B$6)*$B$5*$B$11*(1+(C50-1)*$B$9)</f>
        <v/>
      </c>
      <c r="E50" s="40" t="inlineStr">
        <is>
          <t>✓</t>
        </is>
      </c>
      <c r="F50" s="42">
        <f>IF(E50="✓",D50/2*$B$7,D50/2)</f>
        <v/>
      </c>
      <c r="G50" s="43">
        <f>G49+F50</f>
        <v/>
      </c>
      <c r="H50" s="44">
        <f>IFERROR(MATCH(G50,$C$15:$C$29,1),1)</f>
        <v/>
      </c>
    </row>
    <row r="51">
      <c r="A51" s="36" t="inlineStr">
        <is>
          <t>9:00</t>
        </is>
      </c>
      <c r="B51" s="37" t="n">
        <v>9</v>
      </c>
      <c r="C51" s="36">
        <f>INT(B51/$B$10)+1</f>
        <v/>
      </c>
      <c r="D51" s="37">
        <f>(60/$B$6)*$B$5*$B$11*(1+(C51-1)*$B$9)</f>
        <v/>
      </c>
      <c r="E51" s="36" t="inlineStr"/>
      <c r="F51" s="38">
        <f>IF(E51="✓",D51/2*$B$7,D51/2)</f>
        <v/>
      </c>
      <c r="G51" s="32">
        <f>G50+F51</f>
        <v/>
      </c>
      <c r="H51" s="39">
        <f>IFERROR(MATCH(G51,$C$15:$C$29,1),1)</f>
        <v/>
      </c>
    </row>
    <row r="52">
      <c r="A52" s="36" t="inlineStr">
        <is>
          <t>9:30</t>
        </is>
      </c>
      <c r="B52" s="37" t="n">
        <v>9.5</v>
      </c>
      <c r="C52" s="36">
        <f>INT(B52/$B$10)+1</f>
        <v/>
      </c>
      <c r="D52" s="37">
        <f>(60/$B$6)*$B$5*$B$11*(1+(C52-1)*$B$9)</f>
        <v/>
      </c>
      <c r="E52" s="36" t="inlineStr"/>
      <c r="F52" s="38">
        <f>IF(E52="✓",D52/2*$B$7,D52/2)</f>
        <v/>
      </c>
      <c r="G52" s="32">
        <f>G51+F52</f>
        <v/>
      </c>
      <c r="H52" s="39">
        <f>IFERROR(MATCH(G52,$C$15:$C$29,1),1)</f>
        <v/>
      </c>
    </row>
    <row r="53">
      <c r="A53" s="36" t="inlineStr">
        <is>
          <t>10:00</t>
        </is>
      </c>
      <c r="B53" s="37" t="n">
        <v>10</v>
      </c>
      <c r="C53" s="36">
        <f>INT(B53/$B$10)+1</f>
        <v/>
      </c>
      <c r="D53" s="37">
        <f>(60/$B$6)*$B$5*$B$11*(1+(C53-1)*$B$9)</f>
        <v/>
      </c>
      <c r="E53" s="36" t="inlineStr"/>
      <c r="F53" s="38">
        <f>IF(E53="✓",D53/2*$B$7,D53/2)</f>
        <v/>
      </c>
      <c r="G53" s="32">
        <f>G52+F53</f>
        <v/>
      </c>
      <c r="H53" s="39">
        <f>IFERROR(MATCH(G53,$C$15:$C$29,1),1)</f>
        <v/>
      </c>
    </row>
    <row r="54">
      <c r="A54" s="36" t="inlineStr">
        <is>
          <t>10:30</t>
        </is>
      </c>
      <c r="B54" s="37" t="n">
        <v>10.5</v>
      </c>
      <c r="C54" s="36">
        <f>INT(B54/$B$10)+1</f>
        <v/>
      </c>
      <c r="D54" s="37">
        <f>(60/$B$6)*$B$5*$B$11*(1+(C54-1)*$B$9)</f>
        <v/>
      </c>
      <c r="E54" s="36" t="inlineStr"/>
      <c r="F54" s="38">
        <f>IF(E54="✓",D54/2*$B$7,D54/2)</f>
        <v/>
      </c>
      <c r="G54" s="32">
        <f>G53+F54</f>
        <v/>
      </c>
      <c r="H54" s="39">
        <f>IFERROR(MATCH(G54,$C$15:$C$29,1),1)</f>
        <v/>
      </c>
    </row>
    <row r="55">
      <c r="A55" s="36" t="inlineStr">
        <is>
          <t>11:00</t>
        </is>
      </c>
      <c r="B55" s="37" t="n">
        <v>11</v>
      </c>
      <c r="C55" s="36">
        <f>INT(B55/$B$10)+1</f>
        <v/>
      </c>
      <c r="D55" s="37">
        <f>(60/$B$6)*$B$5*$B$11*(1+(C55-1)*$B$9)</f>
        <v/>
      </c>
      <c r="E55" s="36" t="inlineStr"/>
      <c r="F55" s="38">
        <f>IF(E55="✓",D55/2*$B$7,D55/2)</f>
        <v/>
      </c>
      <c r="G55" s="32">
        <f>G54+F55</f>
        <v/>
      </c>
      <c r="H55" s="39">
        <f>IFERROR(MATCH(G55,$C$15:$C$29,1),1)</f>
        <v/>
      </c>
    </row>
    <row r="56">
      <c r="A56" s="36" t="inlineStr">
        <is>
          <t>11:30</t>
        </is>
      </c>
      <c r="B56" s="37" t="n">
        <v>11.5</v>
      </c>
      <c r="C56" s="36">
        <f>INT(B56/$B$10)+1</f>
        <v/>
      </c>
      <c r="D56" s="37">
        <f>(60/$B$6)*$B$5*$B$11*(1+(C56-1)*$B$9)</f>
        <v/>
      </c>
      <c r="E56" s="36" t="inlineStr"/>
      <c r="F56" s="38">
        <f>IF(E56="✓",D56/2*$B$7,D56/2)</f>
        <v/>
      </c>
      <c r="G56" s="32">
        <f>G55+F56</f>
        <v/>
      </c>
      <c r="H56" s="39">
        <f>IFERROR(MATCH(G56,$C$15:$C$29,1),1)</f>
        <v/>
      </c>
    </row>
    <row r="57">
      <c r="A57" s="40" t="inlineStr">
        <is>
          <t>12:00</t>
        </is>
      </c>
      <c r="B57" s="41" t="n">
        <v>12</v>
      </c>
      <c r="C57" s="40">
        <f>INT(B57/$B$10)+1</f>
        <v/>
      </c>
      <c r="D57" s="41">
        <f>(60/$B$6)*$B$5*$B$11*(1+(C57-1)*$B$9)</f>
        <v/>
      </c>
      <c r="E57" s="40" t="inlineStr">
        <is>
          <t>✓</t>
        </is>
      </c>
      <c r="F57" s="42">
        <f>IF(E57="✓",D57/2*$B$7,D57/2)</f>
        <v/>
      </c>
      <c r="G57" s="43">
        <f>G56+F57</f>
        <v/>
      </c>
      <c r="H57" s="44">
        <f>IFERROR(MATCH(G57,$C$15:$C$29,1),1)</f>
        <v/>
      </c>
    </row>
    <row r="58">
      <c r="A58" s="40" t="inlineStr">
        <is>
          <t>12:30</t>
        </is>
      </c>
      <c r="B58" s="41" t="n">
        <v>12.5</v>
      </c>
      <c r="C58" s="40">
        <f>INT(B58/$B$10)+1</f>
        <v/>
      </c>
      <c r="D58" s="41">
        <f>(60/$B$6)*$B$5*$B$11*(1+(C58-1)*$B$9)</f>
        <v/>
      </c>
      <c r="E58" s="40" t="inlineStr">
        <is>
          <t>✓</t>
        </is>
      </c>
      <c r="F58" s="42">
        <f>IF(E58="✓",D58/2*$B$7,D58/2)</f>
        <v/>
      </c>
      <c r="G58" s="43">
        <f>G57+F58</f>
        <v/>
      </c>
      <c r="H58" s="44">
        <f>IFERROR(MATCH(G58,$C$15:$C$29,1),1)</f>
        <v/>
      </c>
    </row>
    <row r="59">
      <c r="A59" s="36" t="inlineStr">
        <is>
          <t>13:00</t>
        </is>
      </c>
      <c r="B59" s="37" t="n">
        <v>13</v>
      </c>
      <c r="C59" s="36">
        <f>INT(B59/$B$10)+1</f>
        <v/>
      </c>
      <c r="D59" s="37">
        <f>(60/$B$6)*$B$5*$B$11*(1+(C59-1)*$B$9)</f>
        <v/>
      </c>
      <c r="E59" s="36" t="inlineStr"/>
      <c r="F59" s="38">
        <f>IF(E59="✓",D59/2*$B$7,D59/2)</f>
        <v/>
      </c>
      <c r="G59" s="32">
        <f>G58+F59</f>
        <v/>
      </c>
      <c r="H59" s="39">
        <f>IFERROR(MATCH(G59,$C$15:$C$29,1),1)</f>
        <v/>
      </c>
    </row>
    <row r="60">
      <c r="A60" s="36" t="inlineStr">
        <is>
          <t>13:30</t>
        </is>
      </c>
      <c r="B60" s="37" t="n">
        <v>13.5</v>
      </c>
      <c r="C60" s="36">
        <f>INT(B60/$B$10)+1</f>
        <v/>
      </c>
      <c r="D60" s="37">
        <f>(60/$B$6)*$B$5*$B$11*(1+(C60-1)*$B$9)</f>
        <v/>
      </c>
      <c r="E60" s="36" t="inlineStr"/>
      <c r="F60" s="38">
        <f>IF(E60="✓",D60/2*$B$7,D60/2)</f>
        <v/>
      </c>
      <c r="G60" s="32">
        <f>G59+F60</f>
        <v/>
      </c>
      <c r="H60" s="39">
        <f>IFERROR(MATCH(G60,$C$15:$C$29,1),1)</f>
        <v/>
      </c>
    </row>
    <row r="61">
      <c r="A61" s="36" t="inlineStr">
        <is>
          <t>14:00</t>
        </is>
      </c>
      <c r="B61" s="37" t="n">
        <v>14</v>
      </c>
      <c r="C61" s="36">
        <f>INT(B61/$B$10)+1</f>
        <v/>
      </c>
      <c r="D61" s="37">
        <f>(60/$B$6)*$B$5*$B$11*(1+(C61-1)*$B$9)</f>
        <v/>
      </c>
      <c r="E61" s="36" t="inlineStr"/>
      <c r="F61" s="38">
        <f>IF(E61="✓",D61/2*$B$7,D61/2)</f>
        <v/>
      </c>
      <c r="G61" s="32">
        <f>G60+F61</f>
        <v/>
      </c>
      <c r="H61" s="39">
        <f>IFERROR(MATCH(G61,$C$15:$C$29,1),1)</f>
        <v/>
      </c>
    </row>
    <row r="62">
      <c r="A62" s="36" t="inlineStr">
        <is>
          <t>14:30</t>
        </is>
      </c>
      <c r="B62" s="37" t="n">
        <v>14.5</v>
      </c>
      <c r="C62" s="36">
        <f>INT(B62/$B$10)+1</f>
        <v/>
      </c>
      <c r="D62" s="37">
        <f>(60/$B$6)*$B$5*$B$11*(1+(C62-1)*$B$9)</f>
        <v/>
      </c>
      <c r="E62" s="36" t="inlineStr"/>
      <c r="F62" s="38">
        <f>IF(E62="✓",D62/2*$B$7,D62/2)</f>
        <v/>
      </c>
      <c r="G62" s="32">
        <f>G61+F62</f>
        <v/>
      </c>
      <c r="H62" s="39">
        <f>IFERROR(MATCH(G62,$C$15:$C$29,1),1)</f>
        <v/>
      </c>
    </row>
    <row r="63">
      <c r="A63" s="36" t="inlineStr">
        <is>
          <t>15:00</t>
        </is>
      </c>
      <c r="B63" s="37" t="n">
        <v>15</v>
      </c>
      <c r="C63" s="36">
        <f>INT(B63/$B$10)+1</f>
        <v/>
      </c>
      <c r="D63" s="37">
        <f>(60/$B$6)*$B$5*$B$11*(1+(C63-1)*$B$9)</f>
        <v/>
      </c>
      <c r="E63" s="36" t="inlineStr"/>
      <c r="F63" s="38">
        <f>IF(E63="✓",D63/2*$B$7,D63/2)</f>
        <v/>
      </c>
      <c r="G63" s="32">
        <f>G62+F63</f>
        <v/>
      </c>
      <c r="H63" s="39">
        <f>IFERROR(MATCH(G63,$C$15:$C$29,1),1)</f>
        <v/>
      </c>
    </row>
    <row r="65">
      <c r="A65" s="45" t="inlineStr">
        <is>
          <t>⚠ เวลาที่แสดงเป็นค่าประมาณ — ขึ้นอยู่กับ playstyle, จำนวนผู้เล่น และ upgrade ที่เลือก</t>
        </is>
      </c>
    </row>
  </sheetData>
  <mergeCells count="4">
    <mergeCell ref="A65:H65"/>
    <mergeCell ref="A1:D1"/>
    <mergeCell ref="A31:H31"/>
    <mergeCell ref="A13:D13"/>
  </mergeCells>
  <conditionalFormatting sqref="H33:H63">
    <cfRule type="cellIs" priority="1" operator="between" dxfId="4">
      <formula>1</formula>
      <formula>5</formula>
    </cfRule>
    <cfRule type="cellIs" priority="2" operator="between" dxfId="5">
      <formula>6</formula>
      <formula>10</formula>
    </cfRule>
    <cfRule type="cellIs" priority="3" operator="greaterThanOrEqual" dxfId="6">
      <formula>11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2026-03-24T23:28:44Z</dcterms:created>
  <dcterms:modified xmlns:dcterms="http://purl.org/dc/terms/" xmlns:xsi="http://www.w3.org/2001/XMLSchema-instance" xsi:type="dcterms:W3CDTF">2026-03-24T23:38:54Z</dcterms:modified>
</cp:coreProperties>
</file>